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uilera\Desktop\Publicaciones 2024_Laura\Para separados\Separados 2024\"/>
    </mc:Choice>
  </mc:AlternateContent>
  <xr:revisionPtr revIDLastSave="0" documentId="8_{FBE8102A-FDEB-4789-BACE-BE6836E8B3C6}" xr6:coauthVersionLast="47" xr6:coauthVersionMax="47" xr10:uidLastSave="{00000000-0000-0000-0000-000000000000}"/>
  <bookViews>
    <workbookView xWindow="-120" yWindow="-120" windowWidth="24240" windowHeight="13020" xr2:uid="{42EB22BF-4BD7-4582-AECE-B0B4D25B0A0E}"/>
  </bookViews>
  <sheets>
    <sheet name="14.3" sheetId="1" r:id="rId1"/>
    <sheet name="Graf-14.3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'[1]C-01-2-1'!$K$1</definedName>
    <definedName name="_\a">'[1]C-01-2-1'!$K$1</definedName>
    <definedName name="__\d">[2]TFRLGST!#REF!</definedName>
    <definedName name="__\g">[2]TFRLGST!#REF!</definedName>
    <definedName name="__\h">[2]TFRLGST!#REF!</definedName>
    <definedName name="__\m">[2]TFRLGST!#REF!</definedName>
    <definedName name="__\s">[2]TFRLGST!#REF!</definedName>
    <definedName name="__123Graph_A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C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4" hidden="1">#REF!</definedName>
    <definedName name="__123Graph_CGRAPH5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GRAPH3" hidden="1">#REF!</definedName>
    <definedName name="__123Graph_DGRAPH4" hidden="1">#REF!</definedName>
    <definedName name="__123Graph_DGRAPH5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GRAPH3" hidden="1">#REF!</definedName>
    <definedName name="__123Graph_EGRAPH4" hidden="1">#REF!</definedName>
    <definedName name="__123Graph_EGRAPH5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GRAPH3" hidden="1">#REF!</definedName>
    <definedName name="__123Graph_FGRAPH4" hidden="1">#REF!</definedName>
    <definedName name="__123Graph_FGRAPH5" hidden="1">#REF!</definedName>
    <definedName name="__123Graph_LBL_D" hidden="1">#REF!</definedName>
    <definedName name="__123Graph_LBL_DGRAPH1" hidden="1">#REF!</definedName>
    <definedName name="__123Graph_X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1022">'[4]C-10-2-2'!$A$1:$A$50</definedName>
    <definedName name="_1113" localSheetId="0">'[5]C-11-1-3'!#REF!</definedName>
    <definedName name="_1113">'[5]C-11-1-3'!#REF!</definedName>
    <definedName name="_121" localSheetId="0">'[1]C-01-2-1'!#REF!</definedName>
    <definedName name="_121">'[1]C-01-2-1'!#REF!</definedName>
    <definedName name="_1211" localSheetId="0">'[6]C-12-1-1'!#REF!</definedName>
    <definedName name="_1211">'[6]C-12-1-1'!#REF!</definedName>
    <definedName name="_1222" localSheetId="0">'[7]C-12-2-4'!#REF!</definedName>
    <definedName name="_1222">'[7]C-12-2-4'!#REF!</definedName>
    <definedName name="_1223">'[8]C-12-2-5'!#REF!</definedName>
    <definedName name="_1226">'[9]C-12-2-8'!#REF!</definedName>
    <definedName name="_135">'[10]C-01-3-5'!#REF!</definedName>
    <definedName name="_2007">1</definedName>
    <definedName name="_211">'[11]C-02-1-1'!#REF!</definedName>
    <definedName name="_311">'[12]C-03-1-1'!#REF!</definedName>
    <definedName name="_3212">'[13]C-03-2-12'!$20:$8192</definedName>
    <definedName name="_324" localSheetId="0">'[14]C-03-2-4'!#REF!</definedName>
    <definedName name="_324">'[14]C-03-2-4'!#REF!</definedName>
    <definedName name="_327" localSheetId="0">'[15]C-03-2-7'!#REF!</definedName>
    <definedName name="_327">'[15]C-03-2-7'!#REF!</definedName>
    <definedName name="_416" localSheetId="0">'[16]C-04-1-7'!#REF!</definedName>
    <definedName name="_416">'[16]C-04-1-7'!#REF!</definedName>
    <definedName name="_434" localSheetId="0">'[17]C-04-3-5'!#REF!</definedName>
    <definedName name="_434">'[17]C-04-3-5'!#REF!</definedName>
    <definedName name="_513" localSheetId="0">'[18]C-05-2-2'!#REF!</definedName>
    <definedName name="_513">'[18]C-05-2-2'!#REF!</definedName>
    <definedName name="_516">'[18]C-05-2-2'!#REF!</definedName>
    <definedName name="_611">'[19]C-06-1-1'!$A$1:$B$41</definedName>
    <definedName name="_621">'[20]C-06-2-1'!$A$1:$A$32</definedName>
    <definedName name="_623">'[21]C-06-2-3'!$A$1:$A$32</definedName>
    <definedName name="_713" localSheetId="0">'[22]C-07-1-3'!#REF!</definedName>
    <definedName name="_713">'[22]C-07-1-3'!#REF!</definedName>
    <definedName name="_821" localSheetId="0">'[23]C-08-2-1'!#REF!</definedName>
    <definedName name="_821">'[23]C-08-2-1'!#REF!</definedName>
    <definedName name="_932">'[24]C-09-3-2'!$A$1:$E$1</definedName>
    <definedName name="_933">'[25]C-09-3-3'!#REF!</definedName>
    <definedName name="_941">'[26]C-09-4-1'!#REF!</definedName>
    <definedName name="_Fill" hidden="1">#REF!</definedName>
    <definedName name="_Key1" hidden="1">'[18]C-05-2-2'!#REF!</definedName>
    <definedName name="_Order1" hidden="1">255</definedName>
    <definedName name="_pib05">[27]FISCALMH!$BY$154</definedName>
    <definedName name="_Sort" localSheetId="0" hidden="1">'[18]C-05-2-2'!#REF!</definedName>
    <definedName name="_Sort" localSheetId="1" hidden="1">'[18]C-05-2-2'!#REF!</definedName>
    <definedName name="_Sort" hidden="1">'[18]C-05-2-2'!#REF!</definedName>
    <definedName name="a" localSheetId="0" hidden="1">{"'P-3'!$A$6:$R$41"}</definedName>
    <definedName name="a" localSheetId="1" hidden="1">{"'P-3'!$A$6:$R$41"}</definedName>
    <definedName name="a" hidden="1">{"'P-3'!$A$6:$R$41"}</definedName>
    <definedName name="A_impresión_IM" localSheetId="0">#REF!</definedName>
    <definedName name="A_impresión_IM" localSheetId="1">#REF!</definedName>
    <definedName name="A_impresión_IM">#REF!</definedName>
    <definedName name="aa">[28]TFRLGST!#REF!</definedName>
    <definedName name="AEI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_xlnm.Print_Area">'[29]C-03-3'!$A$1:$II$8028</definedName>
    <definedName name="CHKPAS">[2]TFRLGST!#REF!</definedName>
    <definedName name="CHKSAVE">[2]TFRLGST!#REF!</definedName>
    <definedName name="COPI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A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d" localSheetId="0" hidden="1">{"'P-3'!$A$6:$R$41"}</definedName>
    <definedName name="d" localSheetId="1" hidden="1">{"'P-3'!$A$6:$R$41"}</definedName>
    <definedName name="d" hidden="1">{"'P-3'!$A$6:$R$41"}</definedName>
    <definedName name="df" hidden="1">#REF!</definedName>
    <definedName name="dffgfggggggg" hidden="1">#REF!</definedName>
    <definedName name="DOC">#REF!</definedName>
    <definedName name="dsd" localSheetId="0" hidden="1">{"'P-3'!$A$6:$R$41"}</definedName>
    <definedName name="dsd" localSheetId="1" hidden="1">{"'P-3'!$A$6:$R$41"}</definedName>
    <definedName name="dsd" hidden="1">{"'P-3'!$A$6:$R$41"}</definedName>
    <definedName name="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eee">[28]TFRLGST!#REF!</definedName>
    <definedName name="ERR_LOC">[2]TFRLGST!#REF!</definedName>
    <definedName name="ERR_MSG">[2]TFRLGST!#REF!</definedName>
    <definedName name="FILENAME">[2]TFRLGST!#REF!</definedName>
    <definedName name="FLOPDIR">[2]TFRLGST!#REF!</definedName>
    <definedName name="FLOPPY">[2]TFRLGST!#REF!</definedName>
    <definedName name="GETFILE">[2]TFRLGST!#REF!</definedName>
    <definedName name="GRDIR">[2]TFRLGST!#REF!</definedName>
    <definedName name="gsdger">[2]TFRLGST!#REF!</definedName>
    <definedName name="HELP">#REF!</definedName>
    <definedName name="HTML_CodePage" hidden="1">1252</definedName>
    <definedName name="HTML_Control" localSheetId="0" hidden="1">{"'P-3'!$A$6:$R$41"}</definedName>
    <definedName name="HTML_Control" localSheetId="1" hidden="1">{"'P-3'!$A$6:$R$41"}</definedName>
    <definedName name="HTML_Control" hidden="1">{"'P-3'!$A$6:$R$41"}</definedName>
    <definedName name="HTML_Description" hidden="1">"En millones de guaraníes corrientes"</definedName>
    <definedName name="HTML_Email" hidden="1">"sgaleano@hotmail.com"</definedName>
    <definedName name="HTML_Header" hidden="1">"PRODUCTO INTERNO BRUTO"</definedName>
    <definedName name="HTML_LastUpdate" hidden="1">"03/04/1998"</definedName>
    <definedName name="HTML_LineAfter" hidden="1">TRUE</definedName>
    <definedName name="HTML_LineBefore" hidden="1">TRUE</definedName>
    <definedName name="HTML_Name" hidden="1">"DR. SILVIO GALEANO"</definedName>
    <definedName name="HTML_OBDlg2" hidden="1">TRUE</definedName>
    <definedName name="HTML_OBDlg4" hidden="1">TRUE</definedName>
    <definedName name="HTML_OS" hidden="1">0</definedName>
    <definedName name="HTML_PathFile" hidden="1">"C:\MSOfficespa\Plantillas\HTML.htm"</definedName>
    <definedName name="HTML_Title" hidden="1">"BANCO CENTRAL DEL PARAGUAY"</definedName>
    <definedName name="Índice" localSheetId="0">#REF!</definedName>
    <definedName name="Índice" localSheetId="1">#REF!</definedName>
    <definedName name="Índice">#REF!</definedName>
    <definedName name="INDICES" localSheetId="0">#REF!</definedName>
    <definedName name="INDICES" localSheetId="1">#REF!</definedName>
    <definedName name="INDICES">#REF!</definedName>
    <definedName name="JJ" localSheetId="0">'[1]C-01-2-1'!#REF!</definedName>
    <definedName name="JJ" localSheetId="1">'[1]C-01-2-1'!#REF!</definedName>
    <definedName name="JJ">'[1]C-01-2-1'!#REF!</definedName>
    <definedName name="M">[2]TFRLGST!#REF!</definedName>
    <definedName name="MESSAGE">[2]TFRLGST!#REF!</definedName>
    <definedName name="milk">[2]TFRLGST!#REF!</definedName>
    <definedName name="MSG_CELL">[2]TFRLGST!#REF!</definedName>
    <definedName name="N">[2]TFRLGST!#REF!</definedName>
    <definedName name="NOPAS">[2]TFRLGST!#REF!</definedName>
    <definedName name="NOPAS3">[2]TFRLGST!#REF!</definedName>
    <definedName name="OLD_MSG">[2]TFRLGST!#REF!</definedName>
    <definedName name="ºº" localSheetId="0" hidden="1">{"'P-3'!$A$6:$R$41"}</definedName>
    <definedName name="ºº" localSheetId="1" hidden="1">{"'P-3'!$A$6:$R$41"}</definedName>
    <definedName name="ºº" hidden="1">{"'P-3'!$A$6:$R$41"}</definedName>
    <definedName name="PAS_MSG1">[2]TFRLGST!#REF!</definedName>
    <definedName name="PAS_MSG2">[2]TFRLGST!#REF!</definedName>
    <definedName name="PAS_MSG3">[2]TFRLGST!#REF!</definedName>
    <definedName name="PAUSE">[2]TFRLGST!#REF!</definedName>
    <definedName name="PRINT">#REF!</definedName>
    <definedName name="PRINT_AREA">'[29]C-03-3'!$A$1:$II$8028</definedName>
    <definedName name="PRINT_AREA_MI">'[29]C-03-3'!$A$1:$II$8028</definedName>
    <definedName name="Range_StatementI" localSheetId="0">#REF!</definedName>
    <definedName name="Range_StatementI" localSheetId="1">#REF!</definedName>
    <definedName name="Range_StatementI">#REF!</definedName>
    <definedName name="RESDIR">[2]TFRLGST!#REF!</definedName>
    <definedName name="RESTYPE">[2]TFRLGST!#REF!</definedName>
    <definedName name="resumen" localSheetId="0">#REF!</definedName>
    <definedName name="resumen" localSheetId="1">#REF!</definedName>
    <definedName name="resumen">#REF!</definedName>
    <definedName name="RSVMENU">[2]TFRLGST!#REF!</definedName>
    <definedName name="SAVE">[2]TFRLGST!#REF!</definedName>
    <definedName name="SAVE_MSG">[2]TFRLGST!#REF!</definedName>
    <definedName name="SAVED">[2]TFRLGST!#REF!</definedName>
    <definedName name="SAVENGO">[2]TFRLGST!#REF!</definedName>
    <definedName name="t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t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t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TEMP">[2]TFRLGST!#REF!</definedName>
    <definedName name="w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PRIMER._.BORRADOR.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E4" i="2"/>
  <c r="C5" i="2" s="1"/>
  <c r="A5" i="2" l="1"/>
  <c r="B5" i="2"/>
  <c r="E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Diana Aguilera Paredes</author>
  </authors>
  <commentList>
    <comment ref="J4" authorId="0" shapeId="0" xr:uid="{B33F8A61-A6A7-47EC-876C-C125114BBF49}">
      <text>
        <r>
          <rPr>
            <b/>
            <sz val="9"/>
            <color indexed="81"/>
            <rFont val="Tahoma"/>
            <family val="2"/>
          </rPr>
          <t>Laura Diana Aguilera Paredes:</t>
        </r>
        <r>
          <rPr>
            <sz val="9"/>
            <color indexed="81"/>
            <rFont val="Tahoma"/>
            <family val="2"/>
          </rPr>
          <t xml:space="preserve">
Nueva Variable </t>
        </r>
      </text>
    </comment>
  </commentList>
</comments>
</file>

<file path=xl/sharedStrings.xml><?xml version="1.0" encoding="utf-8"?>
<sst xmlns="http://schemas.openxmlformats.org/spreadsheetml/2006/main" count="32" uniqueCount="28">
  <si>
    <t>14.3. Turismo receptivo por continente de origen, según mes. Año 2024</t>
  </si>
  <si>
    <t xml:space="preserve">  Mes</t>
  </si>
  <si>
    <t xml:space="preserve">   Total</t>
  </si>
  <si>
    <t>América</t>
  </si>
  <si>
    <t>Europa</t>
  </si>
  <si>
    <t>Asia</t>
  </si>
  <si>
    <t>África</t>
  </si>
  <si>
    <t>Oceanía</t>
  </si>
  <si>
    <t>El Caribe</t>
  </si>
  <si>
    <t>Sin especificar</t>
  </si>
  <si>
    <t xml:space="preserve"> Total</t>
  </si>
  <si>
    <t xml:space="preserve"> Enero</t>
  </si>
  <si>
    <t xml:space="preserve"> Febrero</t>
  </si>
  <si>
    <t xml:space="preserve"> Marzo</t>
  </si>
  <si>
    <t xml:space="preserve"> Abril</t>
  </si>
  <si>
    <t xml:space="preserve"> Mayo</t>
  </si>
  <si>
    <t xml:space="preserve"> Junio</t>
  </si>
  <si>
    <t xml:space="preserve"> Julio</t>
  </si>
  <si>
    <t xml:space="preserve"> Agosto</t>
  </si>
  <si>
    <t>-</t>
  </si>
  <si>
    <t xml:space="preserve"> Setiembre</t>
  </si>
  <si>
    <t xml:space="preserve"> Octubre</t>
  </si>
  <si>
    <t xml:space="preserve"> Noviembre</t>
  </si>
  <si>
    <t xml:space="preserve"> Diciembre</t>
  </si>
  <si>
    <r>
      <rPr>
        <b/>
        <sz val="9"/>
        <rFont val="Times New Roman"/>
        <family val="1"/>
      </rPr>
      <t>Nota:</t>
    </r>
    <r>
      <rPr>
        <sz val="9"/>
        <rFont val="Times New Roman"/>
        <family val="1"/>
      </rPr>
      <t xml:space="preserve"> Tarjeta de embarque / desembarque y planilla de pasajeros de la Policía Nacional y SENATUR.</t>
    </r>
  </si>
  <si>
    <r>
      <t>Fuente:</t>
    </r>
    <r>
      <rPr>
        <sz val="9"/>
        <rFont val="Times New Roman"/>
        <family val="1"/>
      </rPr>
      <t xml:space="preserve"> Secretaría Nacional de Turismo y Dirección Nacional de Migraciones.</t>
    </r>
  </si>
  <si>
    <t xml:space="preserve"> </t>
  </si>
  <si>
    <t>Otros 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</si>
</sst>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"/>
    <numFmt numFmtId="166" formatCode="#,##0.0"/>
  </numFmts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10"/>
      <color theme="0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66FF"/>
      </top>
      <bottom/>
      <diagonal/>
    </border>
    <border>
      <left/>
      <right/>
      <top style="thin">
        <color rgb="FF0066FF"/>
      </top>
      <bottom style="thin">
        <color rgb="FF0066FF"/>
      </bottom>
      <diagonal/>
    </border>
    <border>
      <left/>
      <right/>
      <top/>
      <bottom style="thin">
        <color rgb="FF0066FF"/>
      </bottom>
      <diagonal/>
    </border>
    <border>
      <left/>
      <right/>
      <top/>
      <bottom style="medium">
        <color rgb="FF0066F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7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left" vertical="center" indent="3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indent="3"/>
    </xf>
    <xf numFmtId="0" fontId="6" fillId="0" borderId="0" xfId="0" applyFont="1"/>
    <xf numFmtId="0" fontId="4" fillId="4" borderId="0" xfId="2" applyFont="1" applyFill="1" applyAlignment="1">
      <alignment horizontal="left" indent="3"/>
    </xf>
    <xf numFmtId="3" fontId="4" fillId="4" borderId="0" xfId="2" applyNumberFormat="1" applyFont="1" applyFill="1" applyAlignment="1">
      <alignment horizontal="right" indent="2"/>
    </xf>
    <xf numFmtId="164" fontId="3" fillId="0" borderId="0" xfId="3" applyNumberFormat="1" applyFont="1" applyAlignment="1">
      <alignment horizontal="right" vertical="center" wrapText="1" indent="2"/>
    </xf>
    <xf numFmtId="3" fontId="3" fillId="0" borderId="0" xfId="2" applyNumberFormat="1" applyFont="1" applyAlignment="1">
      <alignment horizontal="right" indent="6"/>
    </xf>
    <xf numFmtId="3" fontId="3" fillId="0" borderId="0" xfId="2" applyNumberFormat="1" applyFont="1" applyAlignment="1">
      <alignment horizontal="right" indent="7"/>
    </xf>
    <xf numFmtId="3" fontId="3" fillId="0" borderId="0" xfId="2" applyNumberFormat="1" applyFont="1" applyAlignment="1">
      <alignment horizontal="right" indent="5"/>
    </xf>
    <xf numFmtId="0" fontId="8" fillId="0" borderId="0" xfId="0" applyFont="1"/>
    <xf numFmtId="0" fontId="3" fillId="2" borderId="0" xfId="2" applyFont="1" applyFill="1" applyAlignment="1">
      <alignment horizontal="left" indent="3"/>
    </xf>
    <xf numFmtId="3" fontId="3" fillId="0" borderId="0" xfId="0" applyNumberFormat="1" applyFont="1" applyAlignment="1">
      <alignment horizontal="right" indent="3"/>
    </xf>
    <xf numFmtId="0" fontId="3" fillId="0" borderId="0" xfId="2" applyFont="1" applyAlignment="1">
      <alignment horizontal="left" indent="3"/>
    </xf>
    <xf numFmtId="0" fontId="3" fillId="0" borderId="4" xfId="0" applyFont="1" applyBorder="1"/>
    <xf numFmtId="165" fontId="3" fillId="0" borderId="4" xfId="0" applyNumberFormat="1" applyFont="1" applyBorder="1" applyAlignment="1">
      <alignment horizontal="right"/>
    </xf>
    <xf numFmtId="0" fontId="9" fillId="0" borderId="0" xfId="0" applyFont="1"/>
    <xf numFmtId="166" fontId="3" fillId="0" borderId="0" xfId="0" applyNumberFormat="1" applyFont="1"/>
    <xf numFmtId="0" fontId="9" fillId="2" borderId="0" xfId="0" applyFont="1" applyFill="1"/>
    <xf numFmtId="37" fontId="3" fillId="2" borderId="0" xfId="2" applyNumberFormat="1" applyFont="1" applyFill="1"/>
    <xf numFmtId="0" fontId="10" fillId="2" borderId="0" xfId="0" applyFont="1" applyFill="1" applyAlignment="1">
      <alignment horizontal="left"/>
    </xf>
    <xf numFmtId="37" fontId="3" fillId="2" borderId="0" xfId="0" applyNumberFormat="1" applyFont="1" applyFill="1" applyAlignment="1">
      <alignment horizontal="left"/>
    </xf>
    <xf numFmtId="37" fontId="3" fillId="2" borderId="0" xfId="2" applyNumberFormat="1" applyFont="1" applyFill="1" applyAlignment="1">
      <alignment horizontal="left"/>
    </xf>
    <xf numFmtId="0" fontId="11" fillId="2" borderId="0" xfId="2" applyFont="1" applyFill="1" applyAlignment="1">
      <alignment horizontal="center"/>
    </xf>
    <xf numFmtId="3" fontId="12" fillId="2" borderId="0" xfId="2" applyNumberFormat="1" applyFont="1" applyFill="1"/>
    <xf numFmtId="0" fontId="12" fillId="2" borderId="0" xfId="2" applyFont="1" applyFill="1"/>
    <xf numFmtId="0" fontId="15" fillId="0" borderId="0" xfId="0" applyFont="1"/>
    <xf numFmtId="0" fontId="3" fillId="0" borderId="0" xfId="4" applyFont="1" applyFill="1"/>
    <xf numFmtId="0" fontId="3" fillId="0" borderId="0" xfId="4" applyFont="1"/>
    <xf numFmtId="0" fontId="16" fillId="0" borderId="0" xfId="4" applyFont="1" applyFill="1" applyAlignment="1">
      <alignment horizontal="center"/>
    </xf>
    <xf numFmtId="0" fontId="16" fillId="0" borderId="0" xfId="4" applyFont="1"/>
    <xf numFmtId="0" fontId="17" fillId="0" borderId="0" xfId="0" applyFont="1" applyAlignment="1">
      <alignment horizontal="center" vertical="center"/>
    </xf>
    <xf numFmtId="0" fontId="16" fillId="0" borderId="0" xfId="4" applyFont="1" applyFill="1" applyAlignment="1">
      <alignment horizontal="center"/>
    </xf>
    <xf numFmtId="3" fontId="16" fillId="0" borderId="0" xfId="4" applyNumberFormat="1" applyFont="1" applyFill="1" applyAlignment="1">
      <alignment horizontal="center"/>
    </xf>
    <xf numFmtId="165" fontId="16" fillId="0" borderId="0" xfId="4" applyNumberFormat="1" applyFont="1" applyFill="1" applyAlignment="1">
      <alignment horizontal="center"/>
    </xf>
    <xf numFmtId="0" fontId="11" fillId="0" borderId="0" xfId="4" applyFont="1" applyFill="1"/>
    <xf numFmtId="0" fontId="4" fillId="0" borderId="0" xfId="4" applyFont="1" applyFill="1"/>
    <xf numFmtId="1" fontId="3" fillId="0" borderId="0" xfId="4" applyNumberFormat="1" applyFont="1" applyFill="1"/>
    <xf numFmtId="165" fontId="3" fillId="0" borderId="0" xfId="4" applyNumberFormat="1" applyFont="1" applyFill="1"/>
    <xf numFmtId="3" fontId="3" fillId="0" borderId="0" xfId="4" applyNumberFormat="1" applyFont="1" applyFill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5" fillId="0" borderId="0" xfId="3" applyFont="1"/>
    <xf numFmtId="0" fontId="18" fillId="0" borderId="0" xfId="2" applyFont="1" applyAlignment="1">
      <alignment horizontal="left" vertical="center" wrapText="1"/>
    </xf>
    <xf numFmtId="3" fontId="4" fillId="0" borderId="0" xfId="4" applyNumberFormat="1" applyFont="1" applyFill="1"/>
    <xf numFmtId="0" fontId="3" fillId="0" borderId="0" xfId="4" applyFont="1" applyAlignment="1">
      <alignment horizontal="left" indent="2"/>
    </xf>
    <xf numFmtId="0" fontId="4" fillId="0" borderId="0" xfId="2" applyFont="1" applyAlignment="1">
      <alignment horizontal="left" wrapText="1"/>
    </xf>
    <xf numFmtId="0" fontId="20" fillId="0" borderId="0" xfId="3" applyFont="1"/>
    <xf numFmtId="0" fontId="20" fillId="0" borderId="0" xfId="3" applyFont="1" applyAlignment="1">
      <alignment horizontal="left"/>
    </xf>
    <xf numFmtId="0" fontId="4" fillId="0" borderId="0" xfId="2" applyFont="1"/>
    <xf numFmtId="0" fontId="3" fillId="0" borderId="0" xfId="4" applyFont="1" applyFill="1" applyAlignment="1">
      <alignment horizontal="center"/>
    </xf>
    <xf numFmtId="0" fontId="3" fillId="0" borderId="0" xfId="4" applyFont="1" applyAlignment="1">
      <alignment horizontal="center"/>
    </xf>
    <xf numFmtId="3" fontId="3" fillId="0" borderId="0" xfId="4" applyNumberFormat="1" applyFont="1" applyFill="1" applyAlignment="1">
      <alignment horizontal="center"/>
    </xf>
    <xf numFmtId="0" fontId="21" fillId="0" borderId="0" xfId="1" applyFont="1" applyFill="1"/>
    <xf numFmtId="0" fontId="5" fillId="2" borderId="0" xfId="2" applyFont="1" applyFill="1" applyAlignment="1">
      <alignment horizontal="left" indent="6"/>
    </xf>
    <xf numFmtId="0" fontId="5" fillId="2" borderId="0" xfId="2" applyFont="1" applyFill="1"/>
    <xf numFmtId="0" fontId="5" fillId="0" borderId="0" xfId="2" applyFont="1"/>
    <xf numFmtId="0" fontId="5" fillId="2" borderId="0" xfId="2" applyFont="1" applyFill="1" applyAlignment="1">
      <alignment horizontal="left" indent="3"/>
    </xf>
    <xf numFmtId="0" fontId="22" fillId="2" borderId="0" xfId="0" applyFont="1" applyFill="1"/>
  </cellXfs>
  <cellStyles count="5">
    <cellStyle name="ANCLAS,REZONES Y SUS PARTES,DE FUNDICION,DE HIERRO O DE ACERO" xfId="4" xr:uid="{FD4A9D1C-E938-49E1-AA07-6F7D260CE9BB}"/>
    <cellStyle name="Hipervínculo" xfId="1" builtinId="8"/>
    <cellStyle name="Normal" xfId="0" builtinId="0"/>
    <cellStyle name="Normal 10 2 2" xfId="2" xr:uid="{3C80D01D-1176-4164-B61E-7DC7004F1975}"/>
    <cellStyle name="Normal 959 2" xfId="3" xr:uid="{38D33F94-4B97-4AC1-AD35-38DE4984B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FF"/>
                </a:solidFill>
                <a:latin typeface="+mn-lt"/>
                <a:ea typeface="Times New Roman"/>
                <a:cs typeface="Arial" pitchFamily="34" charset="0"/>
              </a:defRPr>
            </a:pPr>
            <a:r>
              <a:rPr lang="es-PY" sz="1500" b="1">
                <a:solidFill>
                  <a:srgbClr val="0000FF"/>
                </a:solidFill>
                <a:latin typeface="+mn-lt"/>
                <a:cs typeface="Arial" pitchFamily="34" charset="0"/>
              </a:rPr>
              <a:t>Turismo receptivo por continente.</a:t>
            </a:r>
            <a:r>
              <a:rPr lang="es-PY" sz="1500" b="1" baseline="0">
                <a:solidFill>
                  <a:srgbClr val="0000FF"/>
                </a:solidFill>
                <a:latin typeface="+mn-lt"/>
                <a:cs typeface="Arial" pitchFamily="34" charset="0"/>
              </a:rPr>
              <a:t> </a:t>
            </a:r>
            <a:r>
              <a:rPr lang="es-PY" sz="1500" b="1">
                <a:solidFill>
                  <a:srgbClr val="0000FF"/>
                </a:solidFill>
                <a:latin typeface="+mn-lt"/>
                <a:cs typeface="Arial" pitchFamily="34" charset="0"/>
              </a:rPr>
              <a:t>Año 2024</a:t>
            </a:r>
          </a:p>
        </c:rich>
      </c:tx>
      <c:layout>
        <c:manualLayout>
          <c:xMode val="edge"/>
          <c:yMode val="edge"/>
          <c:x val="0.27975692974314631"/>
          <c:y val="0.11023561961320058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173184357541906"/>
          <c:y val="0.28731781769728276"/>
          <c:w val="0.88826819243530353"/>
          <c:h val="0.5410315592221028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B2-4C26-BC64-A2DA45768A5C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B2-4C26-BC64-A2DA45768A5C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B2-4C26-BC64-A2DA45768A5C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B2-4C26-BC64-A2DA45768A5C}"/>
              </c:ext>
            </c:extLst>
          </c:dPt>
          <c:dLbls>
            <c:dLbl>
              <c:idx val="0"/>
              <c:layout>
                <c:manualLayout>
                  <c:x val="-8.0711314618513977E-4"/>
                  <c:y val="1.212129673330610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B2-4C26-BC64-A2DA45768A5C}"/>
                </c:ext>
              </c:extLst>
            </c:dLbl>
            <c:dLbl>
              <c:idx val="1"/>
              <c:layout>
                <c:manualLayout>
                  <c:x val="-2.7185284689002245E-2"/>
                  <c:y val="-9.515250856510629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B2-4C26-BC64-A2DA45768A5C}"/>
                </c:ext>
              </c:extLst>
            </c:dLbl>
            <c:dLbl>
              <c:idx val="2"/>
              <c:layout>
                <c:manualLayout>
                  <c:x val="-2.3245257709762216E-2"/>
                  <c:y val="-1.51408680457634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B2-4C26-BC64-A2DA45768A5C}"/>
                </c:ext>
              </c:extLst>
            </c:dLbl>
            <c:dLbl>
              <c:idx val="3"/>
              <c:layout>
                <c:manualLayout>
                  <c:x val="-7.9493464698764213E-2"/>
                  <c:y val="6.000402166746529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83880925325354"/>
                      <c:h val="0.101000094004191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CB2-4C26-BC64-A2DA45768A5C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5865921787709538"/>
                  <c:y val="0.2756416008146384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B2-4C26-BC64-A2DA45768A5C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+mn-lt"/>
                    <a:ea typeface="Tahoma" pitchFamily="34" charset="0"/>
                    <a:cs typeface="Arial" pitchFamily="34" charset="0"/>
                  </a:defRPr>
                </a:pPr>
                <a:endParaRPr lang="es-PY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'Graf-14.3'!$A$3:$D$3</c:f>
              <c:strCache>
                <c:ptCount val="4"/>
                <c:pt idx="0">
                  <c:v>América</c:v>
                </c:pt>
                <c:pt idx="1">
                  <c:v>Europa</c:v>
                </c:pt>
                <c:pt idx="2">
                  <c:v>Asia</c:v>
                </c:pt>
                <c:pt idx="3">
                  <c:v>Otros ⅟</c:v>
                </c:pt>
              </c:strCache>
            </c:strRef>
          </c:cat>
          <c:val>
            <c:numRef>
              <c:f>'Graf-14.3'!$A$4:$D$4</c:f>
              <c:numCache>
                <c:formatCode>#,##0</c:formatCode>
                <c:ptCount val="4"/>
                <c:pt idx="0">
                  <c:v>1005334</c:v>
                </c:pt>
                <c:pt idx="1">
                  <c:v>48739</c:v>
                </c:pt>
                <c:pt idx="2">
                  <c:v>5142</c:v>
                </c:pt>
                <c:pt idx="3">
                  <c:v>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B2-4C26-BC64-A2DA4576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Y"/>
    </a:p>
  </c:txPr>
  <c:printSettings>
    <c:headerFooter alignWithMargins="0"/>
    <c:pageMargins b="1.5748031496063" l="1.9685039370078741" r="1.5748031496063" t="1.9685039370078741" header="0" footer="0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93594</xdr:colOff>
      <xdr:row>2</xdr:row>
      <xdr:rowOff>105455</xdr:rowOff>
    </xdr:from>
    <xdr:to>
      <xdr:col>10</xdr:col>
      <xdr:colOff>27108</xdr:colOff>
      <xdr:row>28</xdr:row>
      <xdr:rowOff>27316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83F7D14-5CF5-40C9-ACF5-32D777C66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0.05448</cdr:x>
      <cdr:y>0.96413</cdr:y>
    </cdr:from>
    <cdr:to>
      <cdr:x>0.26108</cdr:x>
      <cdr:y>1</cdr:y>
    </cdr:to>
    <cdr:sp macro="" textlink="">
      <cdr:nvSpPr>
        <cdr:cNvPr id="3164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1690" y="4358904"/>
          <a:ext cx="1409592" cy="1621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+mn-lt"/>
              <a:cs typeface="Arial" pitchFamily="34" charset="0"/>
            </a:rPr>
            <a:t>Fuente:</a:t>
          </a:r>
          <a:r>
            <a:rPr lang="es-ES" sz="900" b="0" i="0" strike="noStrike">
              <a:solidFill>
                <a:srgbClr val="000000"/>
              </a:solidFill>
              <a:latin typeface="+mn-lt"/>
              <a:cs typeface="Arial" pitchFamily="34" charset="0"/>
            </a:rPr>
            <a:t> Cuadro 14.3.</a:t>
          </a:r>
        </a:p>
      </cdr:txBody>
    </cdr:sp>
  </cdr:relSizeAnchor>
  <cdr:relSizeAnchor xmlns:cdr="http://schemas.openxmlformats.org/drawingml/2006/chartDrawing">
    <cdr:from>
      <cdr:x>0.05531</cdr:x>
      <cdr:y>0.91415</cdr:y>
    </cdr:from>
    <cdr:to>
      <cdr:x>0.48931</cdr:x>
      <cdr:y>0.94939</cdr:y>
    </cdr:to>
    <cdr:sp macro="" textlink="">
      <cdr:nvSpPr>
        <cdr:cNvPr id="3" name="Text Box 1">
          <a:extLst xmlns:a="http://schemas.openxmlformats.org/drawingml/2006/main">
            <a:ext uri="{FF2B5EF4-FFF2-40B4-BE49-F238E27FC236}">
              <a16:creationId xmlns:a16="http://schemas.microsoft.com/office/drawing/2014/main" id="{D15B2184-8462-407C-9CE7-463D1EADD25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7371" y="4132943"/>
          <a:ext cx="2961095" cy="159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18288" rIns="0" bIns="0" anchor="t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+mn-lt"/>
              <a:cs typeface="Arial" pitchFamily="34" charset="0"/>
            </a:rPr>
            <a:t>1/ Incluye: África, Oceanía, El Caribe y</a:t>
          </a:r>
          <a:r>
            <a:rPr lang="es-ES" sz="900" b="0" i="0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 Sin especificar</a:t>
          </a:r>
          <a:r>
            <a:rPr lang="es-ES" sz="900" b="0" i="0" strike="noStrike">
              <a:solidFill>
                <a:srgbClr val="000000"/>
              </a:solidFill>
              <a:latin typeface="+mn-lt"/>
              <a:cs typeface="Arial" pitchFamily="34" charset="0"/>
            </a:rPr>
            <a:t>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1\C-01-2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menez.DGEEC0/AppData/Local/Microsoft/Windows/Temporary%20Internet%20Files/Content.Outlook/72FBA3JW/TFRLGST0204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guilera/Desktop/Publicaciones%202024_Laura/Para%20separados/Compendio%20Estad&#237;stico%202024.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0\C-10-2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1\C-11-1-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1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2-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2-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2-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1\C-01-3-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2\C-02-1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1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2-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2-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2-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4\C-04-1-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4\C-04-3-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5\C-05-2-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6\C-06-1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6\C-06-2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6\C-06-2-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7\C-07-1-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8\C-08-2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9\C-09-3-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9\C-09-3-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9\C-09-4-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lopezm\Documents\LOUR96\fiscal\ObligadoFMI-con%20binacionale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ra%20Fulvia/PROCESADO/TFRLGST02041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ompendio%2019\GRAFICOS\C-03-3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1-2-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FRLGST"/>
      <sheetName val="GRAPH2"/>
      <sheetName val="GRAPH1"/>
      <sheetName val="Hoja1"/>
      <sheetName val="Input_Mig Internacional H"/>
    </sheetNames>
    <sheetDataSet>
      <sheetData sheetId="0">
        <row r="2">
          <cell r="A2" t="str">
            <v>PARAGUAY: 1980- 2012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DIO 2024"/>
      <sheetName val="Presentación 2024"/>
      <sheetName val="1.1"/>
      <sheetName val="1.2"/>
      <sheetName val="1.3"/>
      <sheetName val="1.4"/>
      <sheetName val="Gráfico 1.4"/>
      <sheetName val="1.5"/>
      <sheetName val="Gráfico 1.5"/>
      <sheetName val="2.1"/>
      <sheetName val="2.2"/>
      <sheetName val="2.3"/>
      <sheetName val="2.4"/>
      <sheetName val="Mapa 2.4"/>
      <sheetName val="2.5"/>
      <sheetName val="2.6"/>
      <sheetName val="Graf-2.6"/>
      <sheetName val="3.1"/>
      <sheetName val="Graf-3.1"/>
      <sheetName val="3.2"/>
      <sheetName val="Graf-3.2"/>
      <sheetName val="3.3"/>
      <sheetName val="Graf-3.3"/>
      <sheetName val="3.4"/>
      <sheetName val="3.5"/>
      <sheetName val="4.1"/>
      <sheetName val="4.2"/>
      <sheetName val="4.3"/>
      <sheetName val="4.4"/>
      <sheetName val="4.5"/>
      <sheetName val="Graf-4.5"/>
      <sheetName val="5.1"/>
      <sheetName val="Graf-5.1"/>
      <sheetName val="5.2"/>
      <sheetName val="Graf-5.2"/>
      <sheetName val="5.3"/>
      <sheetName val="5.4"/>
      <sheetName val="Graf-5.4"/>
      <sheetName val="5.5"/>
      <sheetName val="Graf-5.5"/>
      <sheetName val="6.1"/>
      <sheetName val="Graf-6.1"/>
      <sheetName val="6.2"/>
      <sheetName val="7.1"/>
      <sheetName val="Graf-7.1"/>
      <sheetName val="8.1"/>
      <sheetName val="9.1"/>
      <sheetName val="9.2"/>
      <sheetName val="Graf-9.2"/>
      <sheetName val="9.3"/>
      <sheetName val="9.4"/>
      <sheetName val="Graf-9.4"/>
      <sheetName val="9.5"/>
      <sheetName val="Graf-9.5"/>
      <sheetName val="9.6"/>
      <sheetName val="9.7"/>
      <sheetName val="Graf-9.7a"/>
      <sheetName val="Graf-9.7b"/>
      <sheetName val="10.1"/>
      <sheetName val="Graf-10.1"/>
      <sheetName val="10.2"/>
      <sheetName val="Graf-10.2"/>
      <sheetName val="10.3"/>
      <sheetName val="10.4"/>
      <sheetName val="11.1"/>
      <sheetName val="11.2"/>
      <sheetName val="11.3"/>
      <sheetName val="11.4"/>
      <sheetName val="11.5"/>
      <sheetName val="Graf-11.5"/>
      <sheetName val="11.6"/>
      <sheetName val="Graf-11.6"/>
      <sheetName val="12.1"/>
      <sheetName val="12.2"/>
      <sheetName val="12.3"/>
      <sheetName val="12.4"/>
      <sheetName val="13.1"/>
      <sheetName val="13.2"/>
      <sheetName val="13.3"/>
      <sheetName val="14.1"/>
      <sheetName val="Graf-14.1"/>
      <sheetName val="14.2"/>
      <sheetName val="Graf-14.2"/>
      <sheetName val="14.3"/>
      <sheetName val="Graf-14.3"/>
      <sheetName val="14.4"/>
      <sheetName val="15.1"/>
      <sheetName val="15.2"/>
      <sheetName val="15.3"/>
      <sheetName val="16.1"/>
      <sheetName val="Graf-16.1"/>
      <sheetName val="16.2"/>
      <sheetName val="16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3">
          <cell r="A3" t="str">
            <v>América</v>
          </cell>
          <cell r="B3" t="str">
            <v>Europa</v>
          </cell>
          <cell r="C3" t="str">
            <v>Asia</v>
          </cell>
          <cell r="D3" t="str">
            <v>Otros ⅟</v>
          </cell>
        </row>
        <row r="4">
          <cell r="A4">
            <v>1005334</v>
          </cell>
          <cell r="B4">
            <v>48739</v>
          </cell>
          <cell r="C4">
            <v>5142</v>
          </cell>
          <cell r="D4">
            <v>2123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0-2-2"/>
    </sheetNames>
    <sheetDataSet>
      <sheetData sheetId="0">
        <row r="1">
          <cell r="A1" t="str">
            <v>CUADRO 10.2.2. CORPOSANA: NÚMERO DE CONEXIONES Y DE USUARIOS EN GRAN ASUNCIÓN Y CIUDADES</v>
          </cell>
        </row>
        <row r="2">
          <cell r="A2" t="str">
            <v xml:space="preserve">                               DEL INTERIOR DEL PAÍS. PERIODO 1998-1999</v>
          </cell>
        </row>
        <row r="5">
          <cell r="A5" t="str">
            <v>CIUDADES</v>
          </cell>
        </row>
        <row r="9">
          <cell r="A9" t="str">
            <v>TOTAL</v>
          </cell>
        </row>
        <row r="11">
          <cell r="A11" t="str">
            <v>GRAN ASUNCIÓN</v>
          </cell>
        </row>
        <row r="13">
          <cell r="A13" t="str">
            <v>Asunción y Lambaré</v>
          </cell>
        </row>
        <row r="14">
          <cell r="A14" t="str">
            <v>Luque</v>
          </cell>
        </row>
        <row r="15">
          <cell r="A15" t="str">
            <v>San Lorenzo</v>
          </cell>
        </row>
        <row r="16">
          <cell r="A16" t="str">
            <v>Fernando de la Mora</v>
          </cell>
        </row>
        <row r="17">
          <cell r="A17" t="str">
            <v>Mariano R. Alonso</v>
          </cell>
        </row>
        <row r="18">
          <cell r="A18" t="str">
            <v>Limpio</v>
          </cell>
        </row>
        <row r="19">
          <cell r="A19" t="str">
            <v>Villa Elisa</v>
          </cell>
        </row>
        <row r="21">
          <cell r="A21" t="str">
            <v>CIUDADES DEL INTERIOR</v>
          </cell>
        </row>
        <row r="23">
          <cell r="A23" t="str">
            <v>Alberdi</v>
          </cell>
        </row>
        <row r="24">
          <cell r="A24" t="str">
            <v>San Bernardino</v>
          </cell>
        </row>
        <row r="25">
          <cell r="A25" t="str">
            <v>San Juan Bautista</v>
          </cell>
        </row>
        <row r="26">
          <cell r="A26" t="str">
            <v>Encarnación</v>
          </cell>
        </row>
        <row r="27">
          <cell r="A27" t="str">
            <v>Pedro Juan Caballero</v>
          </cell>
        </row>
        <row r="28">
          <cell r="A28" t="str">
            <v>Concepción</v>
          </cell>
        </row>
        <row r="29">
          <cell r="A29" t="str">
            <v>Pilar</v>
          </cell>
        </row>
        <row r="30">
          <cell r="A30" t="str">
            <v>Ciudad del Este</v>
          </cell>
        </row>
        <row r="31">
          <cell r="A31" t="str">
            <v>Caacupé</v>
          </cell>
        </row>
        <row r="32">
          <cell r="A32" t="str">
            <v>Villarrica</v>
          </cell>
        </row>
        <row r="33">
          <cell r="A33" t="str">
            <v>Coronel Oviedo</v>
          </cell>
        </row>
        <row r="34">
          <cell r="A34" t="str">
            <v>Paraguarí</v>
          </cell>
        </row>
        <row r="35">
          <cell r="A35" t="str">
            <v>Villa Hayes</v>
          </cell>
        </row>
        <row r="36">
          <cell r="A36" t="str">
            <v>Bella Vista</v>
          </cell>
        </row>
        <row r="37">
          <cell r="A37" t="str">
            <v>Eusebio Ayala</v>
          </cell>
        </row>
        <row r="38">
          <cell r="A38" t="str">
            <v>Coronel Bogado</v>
          </cell>
        </row>
        <row r="39">
          <cell r="A39" t="str">
            <v>Mariscal Estigarribia</v>
          </cell>
        </row>
        <row r="40">
          <cell r="A40" t="str">
            <v>Itá</v>
          </cell>
        </row>
        <row r="41">
          <cell r="A41" t="str">
            <v>San Estanislao</v>
          </cell>
        </row>
        <row r="42">
          <cell r="A42" t="str">
            <v>San Antonio</v>
          </cell>
        </row>
        <row r="44">
          <cell r="A44" t="str">
            <v>FUENTE: Corporación de Obras Sanitarias. CORPOSANA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1-1-3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1-1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2-4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2-5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2-8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1-3-5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2-1-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1-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2-12"/>
    </sheetNames>
    <sheetDataSet>
      <sheetData sheetId="0">
        <row r="20">
          <cell r="A20" t="str">
            <v>FUENTE: Dirección de Planificación, Estadística e Información. Ministerio de Educación y Cultura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2-4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2-7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4-1-7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4-3-5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5-2-2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6-1-1"/>
    </sheetNames>
    <sheetDataSet>
      <sheetData sheetId="0">
        <row r="1">
          <cell r="A1" t="str">
            <v>CUADRO 6.1.1. SUPERFICIE CULTIVADA Y PRODUCCIÓN POR AÑO AGRÍCOLA, SEGÚN</v>
          </cell>
        </row>
        <row r="2">
          <cell r="A2" t="str">
            <v xml:space="preserve">                            CULTIVOS TEMPORALES. PERIODOS 1997/98 - 1998/99</v>
          </cell>
        </row>
        <row r="5">
          <cell r="A5" t="str">
            <v>CULTIVOS                                                  TEMPORALES</v>
          </cell>
          <cell r="B5" t="str">
            <v>1997/98</v>
          </cell>
        </row>
        <row r="6">
          <cell r="B6" t="str">
            <v xml:space="preserve">  SUPERFICIE CULTIVADA (Hectáreas)</v>
          </cell>
        </row>
        <row r="10">
          <cell r="A10" t="str">
            <v>Ajo</v>
          </cell>
          <cell r="B10">
            <v>439</v>
          </cell>
        </row>
        <row r="11">
          <cell r="A11" t="str">
            <v>Algodón</v>
          </cell>
          <cell r="B11">
            <v>202000</v>
          </cell>
        </row>
        <row r="12">
          <cell r="A12" t="str">
            <v>Arroz con riego</v>
          </cell>
          <cell r="B12">
            <v>20860</v>
          </cell>
        </row>
        <row r="13">
          <cell r="A13" t="str">
            <v>Arroz secano</v>
          </cell>
          <cell r="B13">
            <v>9830</v>
          </cell>
        </row>
        <row r="14">
          <cell r="A14" t="str">
            <v>Arveja</v>
          </cell>
          <cell r="B14">
            <v>3277</v>
          </cell>
        </row>
        <row r="15">
          <cell r="A15" t="str">
            <v>Batata</v>
          </cell>
          <cell r="B15">
            <v>9979</v>
          </cell>
        </row>
        <row r="16">
          <cell r="A16" t="str">
            <v>Caña de azúcar1/</v>
          </cell>
          <cell r="B16">
            <v>58000</v>
          </cell>
        </row>
        <row r="17">
          <cell r="A17" t="str">
            <v>Cebolla de cabeza</v>
          </cell>
          <cell r="B17">
            <v>1796</v>
          </cell>
        </row>
        <row r="18">
          <cell r="A18" t="str">
            <v>Frutilla</v>
          </cell>
          <cell r="B18">
            <v>197</v>
          </cell>
        </row>
        <row r="19">
          <cell r="A19" t="str">
            <v>Girasol</v>
          </cell>
          <cell r="B19">
            <v>62003</v>
          </cell>
        </row>
        <row r="20">
          <cell r="A20" t="str">
            <v>Habilla</v>
          </cell>
          <cell r="B20">
            <v>5996</v>
          </cell>
        </row>
        <row r="21">
          <cell r="A21" t="str">
            <v>Locote</v>
          </cell>
          <cell r="B21">
            <v>888</v>
          </cell>
        </row>
        <row r="22">
          <cell r="A22" t="str">
            <v>Maíz</v>
          </cell>
          <cell r="B22">
            <v>355600</v>
          </cell>
        </row>
        <row r="23">
          <cell r="A23" t="str">
            <v>Mandioca</v>
          </cell>
          <cell r="B23">
            <v>236696</v>
          </cell>
        </row>
        <row r="24">
          <cell r="A24" t="str">
            <v>Maní con cáscara</v>
          </cell>
          <cell r="B24">
            <v>30300</v>
          </cell>
        </row>
        <row r="25">
          <cell r="A25" t="str">
            <v>Menta2/</v>
          </cell>
          <cell r="B25">
            <v>13754</v>
          </cell>
        </row>
        <row r="26">
          <cell r="A26" t="str">
            <v>Papa</v>
          </cell>
          <cell r="B26">
            <v>302</v>
          </cell>
        </row>
        <row r="27">
          <cell r="A27" t="str">
            <v>Poroto</v>
          </cell>
          <cell r="B27">
            <v>57160</v>
          </cell>
        </row>
        <row r="28">
          <cell r="A28" t="str">
            <v>Soja</v>
          </cell>
          <cell r="B28">
            <v>1086043</v>
          </cell>
        </row>
        <row r="29">
          <cell r="A29" t="str">
            <v>Sorgo para grano</v>
          </cell>
          <cell r="B29">
            <v>14342</v>
          </cell>
        </row>
        <row r="30">
          <cell r="A30" t="str">
            <v>Tabaco</v>
          </cell>
          <cell r="B30">
            <v>7800</v>
          </cell>
        </row>
        <row r="31">
          <cell r="A31" t="str">
            <v>Tártago sin cáscara</v>
          </cell>
          <cell r="B31">
            <v>12440</v>
          </cell>
        </row>
        <row r="32">
          <cell r="A32" t="str">
            <v>Tomate</v>
          </cell>
          <cell r="B32">
            <v>1650</v>
          </cell>
        </row>
        <row r="33">
          <cell r="A33" t="str">
            <v>Trigo p</v>
          </cell>
          <cell r="B33">
            <v>200700</v>
          </cell>
        </row>
        <row r="34">
          <cell r="A34" t="str">
            <v>Zanahoria</v>
          </cell>
          <cell r="B34">
            <v>1096</v>
          </cell>
        </row>
        <row r="37">
          <cell r="A37" t="str">
            <v>1/ Para uso industrial.</v>
          </cell>
        </row>
        <row r="38">
          <cell r="A38" t="str">
            <v>2/ Disminución en la producción debido a la baja en los precios de la esencia de menta. Encuesta realizada por</v>
          </cell>
        </row>
        <row r="39">
          <cell r="A39" t="str">
            <v>el Ministerio de Agricultura y Ganadería conjuntamente con el sector privado.</v>
          </cell>
        </row>
        <row r="40">
          <cell r="A40" t="str">
            <v>FUENTE: Producción Agropecuaria 1998/99. Síntesis Estadística. Ministerio de Agricultura y Ganadería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6-2-1"/>
    </sheetNames>
    <sheetDataSet>
      <sheetData sheetId="0">
        <row r="1">
          <cell r="A1" t="str">
            <v xml:space="preserve"> 6.2.1. EXISTENCIA DE GANADO (en miles) POR ESPECIE Y AÑO, SEGÚN DEPARTAMENTO. PERIODO 1997-1999</v>
          </cell>
        </row>
        <row r="4">
          <cell r="A4" t="str">
            <v>DEPARTAMENTO</v>
          </cell>
        </row>
        <row r="8">
          <cell r="A8" t="str">
            <v>TOTAL</v>
          </cell>
        </row>
        <row r="10">
          <cell r="A10" t="str">
            <v>Concepción</v>
          </cell>
        </row>
        <row r="11">
          <cell r="A11" t="str">
            <v>San Pedro</v>
          </cell>
        </row>
        <row r="12">
          <cell r="A12" t="str">
            <v>Cordillera</v>
          </cell>
        </row>
        <row r="13">
          <cell r="A13" t="str">
            <v>Guairá</v>
          </cell>
        </row>
        <row r="14">
          <cell r="A14" t="str">
            <v>Caaguazú</v>
          </cell>
        </row>
        <row r="15">
          <cell r="A15" t="str">
            <v>Caazapá</v>
          </cell>
        </row>
        <row r="16">
          <cell r="A16" t="str">
            <v>Itapúa</v>
          </cell>
        </row>
        <row r="17">
          <cell r="A17" t="str">
            <v>Misiones</v>
          </cell>
        </row>
        <row r="18">
          <cell r="A18" t="str">
            <v>Paraguarí</v>
          </cell>
        </row>
        <row r="19">
          <cell r="A19" t="str">
            <v>Alto Paraná</v>
          </cell>
        </row>
        <row r="20">
          <cell r="A20" t="str">
            <v>Central</v>
          </cell>
        </row>
        <row r="21">
          <cell r="A21" t="str">
            <v>Ñeembucú</v>
          </cell>
        </row>
        <row r="22">
          <cell r="A22" t="str">
            <v>Amambay</v>
          </cell>
        </row>
        <row r="23">
          <cell r="A23" t="str">
            <v>Canindeyú</v>
          </cell>
        </row>
        <row r="25">
          <cell r="A25" t="str">
            <v>Región Occidental</v>
          </cell>
        </row>
        <row r="28">
          <cell r="A28" t="str">
            <v>FUENTE: Producción Agropecuaria 1998/99. Síntesis Estadística. Ministerio de Agricultura y Ganadería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6-2-3"/>
    </sheetNames>
    <sheetDataSet>
      <sheetData sheetId="0">
        <row r="1">
          <cell r="A1" t="str">
            <v>CUADRO 6.2.3. BOVINOS VACUNADOS CONTRA LA FIEBRE AFTOSA Y PROPIETARIOS</v>
          </cell>
        </row>
        <row r="2">
          <cell r="A2" t="str">
            <v xml:space="preserve">                            REGISTRADOS POR PERIODO, SEGÚN DEPARTAMENTO. AÑO 1999</v>
          </cell>
        </row>
        <row r="5">
          <cell r="A5" t="str">
            <v>DEPARTAMENTO</v>
          </cell>
        </row>
        <row r="9">
          <cell r="A9" t="str">
            <v>TOTAL</v>
          </cell>
        </row>
        <row r="11">
          <cell r="A11" t="str">
            <v>Concepción</v>
          </cell>
        </row>
        <row r="12">
          <cell r="A12" t="str">
            <v>San Pedro</v>
          </cell>
        </row>
        <row r="13">
          <cell r="A13" t="str">
            <v>Cordillera</v>
          </cell>
        </row>
        <row r="14">
          <cell r="A14" t="str">
            <v>Guairá</v>
          </cell>
        </row>
        <row r="15">
          <cell r="A15" t="str">
            <v>Caaguazú</v>
          </cell>
        </row>
        <row r="16">
          <cell r="A16" t="str">
            <v>Caazapá</v>
          </cell>
        </row>
        <row r="17">
          <cell r="A17" t="str">
            <v>Itapúa</v>
          </cell>
        </row>
        <row r="18">
          <cell r="A18" t="str">
            <v>Misiones</v>
          </cell>
        </row>
        <row r="19">
          <cell r="A19" t="str">
            <v>Paraguarí</v>
          </cell>
        </row>
        <row r="20">
          <cell r="A20" t="str">
            <v>Alto Paraná</v>
          </cell>
        </row>
        <row r="21">
          <cell r="A21" t="str">
            <v>Central</v>
          </cell>
        </row>
        <row r="22">
          <cell r="A22" t="str">
            <v>Ñeembucú</v>
          </cell>
        </row>
        <row r="23">
          <cell r="A23" t="str">
            <v>Amambay</v>
          </cell>
        </row>
        <row r="24">
          <cell r="A24" t="str">
            <v>Canindeyú</v>
          </cell>
        </row>
        <row r="25">
          <cell r="A25" t="str">
            <v>Pdte. Hayes</v>
          </cell>
        </row>
        <row r="26">
          <cell r="A26" t="str">
            <v>Boquerón</v>
          </cell>
        </row>
        <row r="27">
          <cell r="A27" t="str">
            <v>Alto Paraguay</v>
          </cell>
        </row>
        <row r="29">
          <cell r="A29" t="str">
            <v>FUENTE: División Estadística. Servicio Nacional de Salud Animal. SENACSA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7-1-3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8-2-1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9-3-2"/>
    </sheetNames>
    <sheetDataSet>
      <sheetData sheetId="0">
        <row r="1">
          <cell r="A1" t="str">
            <v>CUADRO 9.3.2. PRINCIPALES RUBROS DE EXPORTACIÓN (en toneladas y %),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9-3-3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9-4-1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cienda"/>
      <sheetName val="FISCALMH"/>
      <sheetName val="EN $US"/>
      <sheetName val="acumulado"/>
      <sheetName val="ejecpresNueva"/>
      <sheetName val="fiscalmhvert"/>
      <sheetName val="viejo"/>
      <sheetName val="Mozart Reports"/>
      <sheetName val="viejovert"/>
      <sheetName val="EJECPRES VIEJA"/>
      <sheetName val="pycifras"/>
      <sheetName val="Cuadro19"/>
      <sheetName val="Fiscco5"/>
      <sheetName val="FISCO5ACUMULADO"/>
      <sheetName val="FISC5ACDOL"/>
      <sheetName val="fisco5 ac pib"/>
      <sheetName val="acum inter"/>
      <sheetName val="DEFLACTADO"/>
      <sheetName val="VAR REAL"/>
      <sheetName val="fiscco5creciminteranual"/>
      <sheetName val="fisco5%pib"/>
      <sheetName val="fisco5dol"/>
      <sheetName val=" nuevofisco5"/>
      <sheetName val="ingresos "/>
      <sheetName val="Gastos"/>
      <sheetName val="Gastos1"/>
      <sheetName val="def.sup"/>
      <sheetName val="inf monetario"/>
      <sheetName val="ahorro del gob"/>
      <sheetName val="RESFIS"/>
      <sheetName val="Coyuntura"/>
      <sheetName val="def-sup-pib"/>
      <sheetName val="resultadoprimario "/>
      <sheetName val="Resultado Primario nuevo"/>
      <sheetName val="res prim % del pib"/>
      <sheetName val="NACUNIDAS"/>
      <sheetName val="balance de la admcen"/>
      <sheetName val="LEY-EJC"/>
      <sheetName val="2015"/>
      <sheetName val="pag14-15"/>
      <sheetName val="2014"/>
      <sheetName val="pag14-14"/>
      <sheetName val="2013"/>
      <sheetName val="pag14-13"/>
      <sheetName val="2012"/>
      <sheetName val="pag14-12"/>
      <sheetName val="2011"/>
      <sheetName val="pag14-11"/>
      <sheetName val="2010"/>
      <sheetName val="Pag14-10"/>
      <sheetName val="Hoja4"/>
      <sheetName val="pag14-09"/>
      <sheetName val="Hoja08"/>
      <sheetName val="pag14-08"/>
      <sheetName val="Hoja07"/>
      <sheetName val="pag14-07"/>
      <sheetName val="Hoja206"/>
      <sheetName val="pag14-06"/>
      <sheetName val="Hoja205"/>
      <sheetName val="pag14-05"/>
      <sheetName val="Hoja304"/>
      <sheetName val="pag14-04"/>
      <sheetName val="pag14-03"/>
      <sheetName val="pag14-02"/>
      <sheetName val="pag14-01"/>
      <sheetName val="pag14-00"/>
      <sheetName val="pag14-99"/>
      <sheetName val="P13 y fmi"/>
      <sheetName val="pag 18 bolbcpnvo"/>
      <sheetName val="pag 18bolbcp"/>
      <sheetName val="para imprimir"/>
      <sheetName val="ind.ec"/>
      <sheetName val="ingnetode us$"/>
      <sheetName val="Serv de la deuda"/>
      <sheetName val="CepalNvo"/>
      <sheetName val="cepal"/>
      <sheetName val="resumen"/>
      <sheetName val="RATIOS"/>
      <sheetName val="Ratios1"/>
      <sheetName val="pedido zulma"/>
      <sheetName val="financiamiento"/>
      <sheetName val="triptico"/>
      <sheetName val="hoja"/>
      <sheetName val="nec de fin ceoma"/>
      <sheetName val="Hoja1"/>
      <sheetName val="banco mundial"/>
      <sheetName val="Ceoma"/>
      <sheetName val="proy ceoma"/>
      <sheetName val="Hoja2"/>
      <sheetName val="Hoja5"/>
    </sheetNames>
    <sheetDataSet>
      <sheetData sheetId="0"/>
      <sheetData sheetId="1">
        <row r="154">
          <cell r="BY154">
            <v>53962326.677000001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FRLGST"/>
      <sheetName val="GRAPH2"/>
      <sheetName val="GRAPH1"/>
      <sheetName val="Hoja1"/>
    </sheetNames>
    <sheetDataSet>
      <sheetData sheetId="0">
        <row r="2">
          <cell r="A2" t="str">
            <v>PARAGUAY: 1980- 2012</v>
          </cell>
        </row>
      </sheetData>
      <sheetData sheetId="1" refreshError="1"/>
      <sheetData sheetId="2" refreshError="1"/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3"/>
    </sheetNames>
    <sheetDataSet>
      <sheetData sheetId="0">
        <row r="5">
          <cell r="E5">
            <v>100</v>
          </cell>
        </row>
        <row r="6">
          <cell r="D6" t="str">
            <v>OFICIAL</v>
          </cell>
          <cell r="E6">
            <v>76.581573896353163</v>
          </cell>
        </row>
        <row r="7">
          <cell r="D7" t="str">
            <v xml:space="preserve">PRIVADO </v>
          </cell>
          <cell r="E7">
            <v>13.996928982725528</v>
          </cell>
        </row>
        <row r="8">
          <cell r="D8" t="str">
            <v>PRIVADO SUBVENCIONADO</v>
          </cell>
          <cell r="E8">
            <v>9.4214971209213054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ED01-80BB-4FD9-8F92-79EF3411224B}">
  <dimension ref="A1:L35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2.7109375" style="4" customWidth="1"/>
    <col min="2" max="2" width="16" style="1" customWidth="1"/>
    <col min="3" max="9" width="14.140625" style="1" customWidth="1"/>
    <col min="10" max="10" width="14.7109375" style="1" customWidth="1"/>
    <col min="11" max="16384" width="11.42578125" style="1"/>
  </cols>
  <sheetData>
    <row r="1" spans="1:12" x14ac:dyDescent="0.25">
      <c r="A1" s="61"/>
    </row>
    <row r="2" spans="1:12" s="2" customFormat="1" ht="15" customHeight="1" x14ac:dyDescent="0.2">
      <c r="B2" s="3" t="s">
        <v>0</v>
      </c>
      <c r="C2" s="3"/>
      <c r="D2" s="3"/>
      <c r="E2" s="3"/>
      <c r="F2" s="3"/>
      <c r="G2" s="3"/>
      <c r="H2" s="3"/>
      <c r="I2" s="3"/>
    </row>
    <row r="3" spans="1:12" ht="5.0999999999999996" customHeight="1" x14ac:dyDescent="0.25">
      <c r="B3" s="5"/>
      <c r="C3" s="5"/>
      <c r="D3" s="5"/>
      <c r="E3" s="5"/>
      <c r="F3" s="5"/>
      <c r="G3" s="5"/>
      <c r="H3" s="5"/>
      <c r="I3" s="5"/>
      <c r="J3" s="6"/>
    </row>
    <row r="4" spans="1:12" ht="15" customHeight="1" x14ac:dyDescent="0.25"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</row>
    <row r="5" spans="1:12" ht="15" customHeight="1" x14ac:dyDescent="0.25">
      <c r="B5" s="10"/>
      <c r="C5" s="8"/>
      <c r="D5" s="8"/>
      <c r="E5" s="8"/>
      <c r="F5" s="8"/>
      <c r="G5" s="8"/>
      <c r="H5" s="8"/>
      <c r="I5" s="8"/>
      <c r="J5" s="9"/>
    </row>
    <row r="6" spans="1:12" ht="5.0999999999999996" customHeight="1" x14ac:dyDescent="0.25">
      <c r="B6" s="62"/>
      <c r="C6" s="63"/>
      <c r="D6" s="63"/>
      <c r="E6" s="63"/>
      <c r="F6" s="64"/>
      <c r="G6" s="64"/>
      <c r="H6" s="63"/>
      <c r="I6" s="63"/>
      <c r="J6" s="63"/>
    </row>
    <row r="7" spans="1:12" x14ac:dyDescent="0.25">
      <c r="A7" s="11"/>
      <c r="B7" s="12" t="s">
        <v>10</v>
      </c>
      <c r="C7" s="13">
        <v>1061338</v>
      </c>
      <c r="D7" s="13">
        <v>1005334</v>
      </c>
      <c r="E7" s="13">
        <v>48739</v>
      </c>
      <c r="F7" s="13">
        <v>5142</v>
      </c>
      <c r="G7" s="13">
        <v>321</v>
      </c>
      <c r="H7" s="13">
        <v>910</v>
      </c>
      <c r="I7" s="13">
        <v>720</v>
      </c>
      <c r="J7" s="13">
        <v>172</v>
      </c>
    </row>
    <row r="8" spans="1:12" ht="5.0999999999999996" customHeight="1" x14ac:dyDescent="0.25">
      <c r="A8" s="11"/>
      <c r="B8" s="65"/>
      <c r="C8" s="14"/>
      <c r="D8" s="15"/>
      <c r="E8" s="16"/>
      <c r="F8" s="16"/>
      <c r="G8" s="16"/>
      <c r="H8" s="16"/>
      <c r="I8" s="16"/>
      <c r="J8" s="17"/>
    </row>
    <row r="9" spans="1:12" x14ac:dyDescent="0.25">
      <c r="A9" s="18"/>
      <c r="B9" s="19" t="s">
        <v>11</v>
      </c>
      <c r="C9" s="14">
        <v>92974</v>
      </c>
      <c r="D9" s="14">
        <v>88402</v>
      </c>
      <c r="E9" s="14">
        <v>3932</v>
      </c>
      <c r="F9" s="14">
        <v>431</v>
      </c>
      <c r="G9" s="14">
        <v>25</v>
      </c>
      <c r="H9" s="14">
        <v>76</v>
      </c>
      <c r="I9" s="14">
        <v>36</v>
      </c>
      <c r="J9" s="20">
        <v>72</v>
      </c>
    </row>
    <row r="10" spans="1:12" x14ac:dyDescent="0.25">
      <c r="A10" s="11"/>
      <c r="B10" s="19" t="s">
        <v>12</v>
      </c>
      <c r="C10" s="14">
        <v>79249</v>
      </c>
      <c r="D10" s="14">
        <v>74329</v>
      </c>
      <c r="E10" s="14">
        <v>4187</v>
      </c>
      <c r="F10" s="14">
        <v>579</v>
      </c>
      <c r="G10" s="14">
        <v>18</v>
      </c>
      <c r="H10" s="14">
        <v>73</v>
      </c>
      <c r="I10" s="14">
        <v>51</v>
      </c>
      <c r="J10" s="20">
        <v>12</v>
      </c>
    </row>
    <row r="11" spans="1:12" x14ac:dyDescent="0.25">
      <c r="A11" s="11"/>
      <c r="B11" s="19" t="s">
        <v>13</v>
      </c>
      <c r="C11" s="14">
        <v>88071</v>
      </c>
      <c r="D11" s="14">
        <v>82750</v>
      </c>
      <c r="E11" s="14">
        <v>4748</v>
      </c>
      <c r="F11" s="14">
        <v>388</v>
      </c>
      <c r="G11" s="14">
        <v>37</v>
      </c>
      <c r="H11" s="14">
        <v>75</v>
      </c>
      <c r="I11" s="14">
        <v>50</v>
      </c>
      <c r="J11" s="20">
        <v>23</v>
      </c>
    </row>
    <row r="12" spans="1:12" x14ac:dyDescent="0.25">
      <c r="A12" s="11"/>
      <c r="B12" s="19" t="s">
        <v>14</v>
      </c>
      <c r="C12" s="14">
        <v>65836</v>
      </c>
      <c r="D12" s="14">
        <v>62135</v>
      </c>
      <c r="E12" s="14">
        <v>3215</v>
      </c>
      <c r="F12" s="14">
        <v>340</v>
      </c>
      <c r="G12" s="14">
        <v>35</v>
      </c>
      <c r="H12" s="14">
        <v>64</v>
      </c>
      <c r="I12" s="14">
        <v>39</v>
      </c>
      <c r="J12" s="20">
        <v>8</v>
      </c>
    </row>
    <row r="13" spans="1:12" x14ac:dyDescent="0.25">
      <c r="A13" s="11"/>
      <c r="B13" s="19" t="s">
        <v>15</v>
      </c>
      <c r="C13" s="14">
        <v>72724</v>
      </c>
      <c r="D13" s="14">
        <v>69075</v>
      </c>
      <c r="E13" s="14">
        <v>3023</v>
      </c>
      <c r="F13" s="14">
        <v>435</v>
      </c>
      <c r="G13" s="14">
        <v>18</v>
      </c>
      <c r="H13" s="14">
        <v>88</v>
      </c>
      <c r="I13" s="14">
        <v>76</v>
      </c>
      <c r="J13" s="20">
        <v>9</v>
      </c>
    </row>
    <row r="14" spans="1:12" s="4" customFormat="1" x14ac:dyDescent="0.25">
      <c r="A14" s="18"/>
      <c r="B14" s="21" t="s">
        <v>16</v>
      </c>
      <c r="C14" s="14">
        <v>74374</v>
      </c>
      <c r="D14" s="14">
        <v>70939</v>
      </c>
      <c r="E14" s="14">
        <v>2916</v>
      </c>
      <c r="F14" s="14">
        <v>358</v>
      </c>
      <c r="G14" s="14">
        <v>23</v>
      </c>
      <c r="H14" s="14">
        <v>69</v>
      </c>
      <c r="I14" s="14">
        <v>64</v>
      </c>
      <c r="J14" s="20">
        <v>5</v>
      </c>
    </row>
    <row r="15" spans="1:12" x14ac:dyDescent="0.25">
      <c r="A15" s="11"/>
      <c r="B15" s="19" t="s">
        <v>17</v>
      </c>
      <c r="C15" s="14">
        <v>106313</v>
      </c>
      <c r="D15" s="14">
        <v>101406</v>
      </c>
      <c r="E15" s="14">
        <v>4356</v>
      </c>
      <c r="F15" s="14">
        <v>431</v>
      </c>
      <c r="G15" s="14">
        <v>26</v>
      </c>
      <c r="H15" s="14">
        <v>45</v>
      </c>
      <c r="I15" s="14">
        <v>41</v>
      </c>
      <c r="J15" s="20">
        <v>8</v>
      </c>
      <c r="L15" s="14">
        <v>0</v>
      </c>
    </row>
    <row r="16" spans="1:12" x14ac:dyDescent="0.25">
      <c r="A16" s="11"/>
      <c r="B16" s="19" t="s">
        <v>18</v>
      </c>
      <c r="C16" s="14">
        <v>76527</v>
      </c>
      <c r="D16" s="14">
        <v>71300</v>
      </c>
      <c r="E16" s="14">
        <v>4579</v>
      </c>
      <c r="F16" s="14">
        <v>508</v>
      </c>
      <c r="G16" s="14">
        <v>13</v>
      </c>
      <c r="H16" s="14">
        <v>64</v>
      </c>
      <c r="I16" s="14">
        <v>63</v>
      </c>
      <c r="J16" s="20" t="s">
        <v>19</v>
      </c>
    </row>
    <row r="17" spans="1:10" x14ac:dyDescent="0.25">
      <c r="A17" s="2"/>
      <c r="B17" s="19" t="s">
        <v>20</v>
      </c>
      <c r="C17" s="14">
        <v>76633</v>
      </c>
      <c r="D17" s="14">
        <v>72800</v>
      </c>
      <c r="E17" s="14">
        <v>3310</v>
      </c>
      <c r="F17" s="14">
        <v>377</v>
      </c>
      <c r="G17" s="14">
        <v>24</v>
      </c>
      <c r="H17" s="14">
        <v>79</v>
      </c>
      <c r="I17" s="14">
        <v>40</v>
      </c>
      <c r="J17" s="20">
        <v>3</v>
      </c>
    </row>
    <row r="18" spans="1:10" x14ac:dyDescent="0.25">
      <c r="A18" s="2"/>
      <c r="B18" s="19" t="s">
        <v>21</v>
      </c>
      <c r="C18" s="14">
        <v>81307</v>
      </c>
      <c r="D18" s="14">
        <v>77019</v>
      </c>
      <c r="E18" s="14">
        <v>3685</v>
      </c>
      <c r="F18" s="14">
        <v>357</v>
      </c>
      <c r="G18" s="14">
        <v>23</v>
      </c>
      <c r="H18" s="14">
        <v>97</v>
      </c>
      <c r="I18" s="14">
        <v>121</v>
      </c>
      <c r="J18" s="20">
        <v>5</v>
      </c>
    </row>
    <row r="19" spans="1:10" x14ac:dyDescent="0.25">
      <c r="A19" s="11"/>
      <c r="B19" s="19" t="s">
        <v>22</v>
      </c>
      <c r="C19" s="14">
        <v>87283</v>
      </c>
      <c r="D19" s="14">
        <v>81555</v>
      </c>
      <c r="E19" s="14">
        <v>5060</v>
      </c>
      <c r="F19" s="14">
        <v>440</v>
      </c>
      <c r="G19" s="14">
        <v>45</v>
      </c>
      <c r="H19" s="14">
        <v>92</v>
      </c>
      <c r="I19" s="14">
        <v>77</v>
      </c>
      <c r="J19" s="20">
        <v>14</v>
      </c>
    </row>
    <row r="20" spans="1:10" s="4" customFormat="1" x14ac:dyDescent="0.25">
      <c r="A20" s="11"/>
      <c r="B20" s="21" t="s">
        <v>23</v>
      </c>
      <c r="C20" s="14">
        <v>160047</v>
      </c>
      <c r="D20" s="14">
        <v>153624</v>
      </c>
      <c r="E20" s="14">
        <v>5728</v>
      </c>
      <c r="F20" s="14">
        <v>498</v>
      </c>
      <c r="G20" s="14">
        <v>34</v>
      </c>
      <c r="H20" s="14">
        <v>88</v>
      </c>
      <c r="I20" s="14">
        <v>62</v>
      </c>
      <c r="J20" s="20">
        <v>13</v>
      </c>
    </row>
    <row r="21" spans="1:10" s="2" customFormat="1" ht="5.0999999999999996" customHeight="1" thickBot="1" x14ac:dyDescent="0.3">
      <c r="A21" s="4"/>
      <c r="B21" s="22"/>
      <c r="C21" s="23"/>
      <c r="D21" s="23"/>
      <c r="E21" s="23"/>
      <c r="F21" s="23"/>
      <c r="G21" s="23"/>
      <c r="H21" s="23"/>
      <c r="I21" s="23"/>
      <c r="J21" s="23"/>
    </row>
    <row r="22" spans="1:10" s="2" customFormat="1" ht="5.0999999999999996" customHeight="1" x14ac:dyDescent="0.25">
      <c r="A22" s="4"/>
      <c r="B22" s="24"/>
      <c r="D22" s="25"/>
    </row>
    <row r="23" spans="1:10" x14ac:dyDescent="0.25">
      <c r="B23" s="26" t="s">
        <v>24</v>
      </c>
      <c r="C23" s="63"/>
      <c r="D23" s="27"/>
      <c r="E23" s="27"/>
      <c r="F23" s="27"/>
      <c r="G23" s="63"/>
      <c r="H23" s="27"/>
      <c r="I23" s="27"/>
      <c r="J23" s="27"/>
    </row>
    <row r="24" spans="1:10" ht="5.0999999999999996" customHeight="1" x14ac:dyDescent="0.25">
      <c r="B24" s="26"/>
      <c r="C24" s="63"/>
      <c r="D24" s="27"/>
      <c r="E24" s="27"/>
      <c r="F24" s="27"/>
      <c r="G24" s="63"/>
      <c r="H24" s="27"/>
      <c r="I24" s="27"/>
      <c r="J24" s="27"/>
    </row>
    <row r="25" spans="1:10" x14ac:dyDescent="0.25">
      <c r="B25" s="28" t="s">
        <v>25</v>
      </c>
      <c r="C25" s="6"/>
      <c r="D25" s="29"/>
      <c r="E25" s="27"/>
      <c r="F25" s="27"/>
      <c r="G25" s="63"/>
      <c r="H25" s="63"/>
      <c r="I25" s="27"/>
      <c r="J25" s="27"/>
    </row>
    <row r="26" spans="1:10" x14ac:dyDescent="0.25">
      <c r="B26" s="63"/>
      <c r="C26" s="63"/>
      <c r="D26" s="30" t="s">
        <v>26</v>
      </c>
      <c r="E26" s="27"/>
      <c r="F26" s="27"/>
      <c r="G26" s="27"/>
      <c r="H26" s="27"/>
      <c r="I26" s="27"/>
      <c r="J26" s="27"/>
    </row>
    <row r="27" spans="1:10" x14ac:dyDescent="0.25">
      <c r="B27" s="64"/>
      <c r="C27" s="63"/>
      <c r="D27" s="30"/>
      <c r="E27" s="27"/>
      <c r="F27" s="27"/>
      <c r="G27" s="27"/>
      <c r="H27" s="27"/>
      <c r="I27" s="27"/>
      <c r="J27" s="27"/>
    </row>
    <row r="28" spans="1:10" ht="15.75" x14ac:dyDescent="0.25">
      <c r="B28" s="50"/>
      <c r="C28" s="31"/>
      <c r="D28" s="32"/>
      <c r="E28" s="33"/>
      <c r="F28" s="33"/>
      <c r="G28" s="33"/>
      <c r="H28" s="33"/>
      <c r="I28" s="33"/>
      <c r="J28" s="33"/>
    </row>
    <row r="29" spans="1:10" ht="15.75" x14ac:dyDescent="0.25">
      <c r="B29" s="66"/>
      <c r="C29" s="31"/>
      <c r="D29" s="33"/>
      <c r="E29" s="33"/>
      <c r="F29" s="33"/>
      <c r="G29" s="33"/>
      <c r="H29" s="33"/>
      <c r="I29" s="33"/>
      <c r="J29" s="33"/>
    </row>
    <row r="30" spans="1:10" x14ac:dyDescent="0.25">
      <c r="B30" s="49"/>
    </row>
    <row r="32" spans="1:10" x14ac:dyDescent="0.25">
      <c r="B32" s="55"/>
    </row>
    <row r="33" spans="2:2" x14ac:dyDescent="0.25">
      <c r="B33" s="56"/>
    </row>
    <row r="34" spans="2:2" x14ac:dyDescent="0.25">
      <c r="B34" s="55"/>
    </row>
    <row r="35" spans="2:2" x14ac:dyDescent="0.25">
      <c r="B35" s="55"/>
    </row>
  </sheetData>
  <mergeCells count="9">
    <mergeCell ref="H4:H5"/>
    <mergeCell ref="I4:I5"/>
    <mergeCell ref="J4:J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E292-E72F-4D4A-B0DB-F0E30C199BBE}">
  <dimension ref="A1:J45"/>
  <sheetViews>
    <sheetView showGridLines="0" zoomScaleNormal="100" workbookViewId="0">
      <selection activeCell="B11" sqref="B11"/>
    </sheetView>
  </sheetViews>
  <sheetFormatPr baseColWidth="10" defaultColWidth="11.42578125" defaultRowHeight="12.75" x14ac:dyDescent="0.2"/>
  <cols>
    <col min="1" max="1" width="11.5703125" style="35" customWidth="1"/>
    <col min="2" max="2" width="11.85546875" style="35" customWidth="1"/>
    <col min="3" max="3" width="11.5703125" style="35" customWidth="1"/>
    <col min="4" max="4" width="29.7109375" style="35" customWidth="1"/>
    <col min="5" max="5" width="12.28515625" style="35" customWidth="1"/>
    <col min="6" max="6" width="8.140625" style="36" customWidth="1"/>
    <col min="7" max="7" width="7.42578125" style="36" customWidth="1"/>
    <col min="8" max="16384" width="11.42578125" style="36"/>
  </cols>
  <sheetData>
    <row r="1" spans="1:5" ht="15" x14ac:dyDescent="0.25">
      <c r="A1" s="34"/>
    </row>
    <row r="2" spans="1:5" s="38" customFormat="1" x14ac:dyDescent="0.2">
      <c r="A2" s="37">
        <v>2024</v>
      </c>
      <c r="B2" s="37"/>
      <c r="C2" s="37"/>
      <c r="D2" s="37"/>
      <c r="E2" s="37"/>
    </row>
    <row r="3" spans="1:5" s="38" customFormat="1" ht="15" x14ac:dyDescent="0.2">
      <c r="A3" s="39" t="s">
        <v>3</v>
      </c>
      <c r="B3" s="39" t="s">
        <v>4</v>
      </c>
      <c r="C3" s="39" t="s">
        <v>5</v>
      </c>
      <c r="D3" s="40" t="s">
        <v>27</v>
      </c>
      <c r="E3" s="40" t="s">
        <v>2</v>
      </c>
    </row>
    <row r="4" spans="1:5" s="38" customFormat="1" x14ac:dyDescent="0.2">
      <c r="A4" s="41">
        <v>1005334</v>
      </c>
      <c r="B4" s="41">
        <v>48739</v>
      </c>
      <c r="C4" s="41">
        <v>5142</v>
      </c>
      <c r="D4" s="41">
        <v>2123</v>
      </c>
      <c r="E4" s="41">
        <f>SUM(A4:D4)</f>
        <v>1061338</v>
      </c>
    </row>
    <row r="5" spans="1:5" s="38" customFormat="1" x14ac:dyDescent="0.2">
      <c r="A5" s="42">
        <f>(A4/$E4)*100</f>
        <v>94.723264407757</v>
      </c>
      <c r="B5" s="42">
        <f>(B4/$E4)*100</f>
        <v>4.5922222703794642</v>
      </c>
      <c r="C5" s="42">
        <f>(C4/$E4)*100</f>
        <v>0.48448279435957253</v>
      </c>
      <c r="D5" s="42">
        <f>(D4/$E4)*100</f>
        <v>0.200030527503962</v>
      </c>
      <c r="E5" s="42">
        <f>SUM(A5:D5)</f>
        <v>100</v>
      </c>
    </row>
    <row r="6" spans="1:5" ht="21" customHeight="1" x14ac:dyDescent="0.2"/>
    <row r="7" spans="1:5" ht="15.75" x14ac:dyDescent="0.25">
      <c r="A7" s="43"/>
      <c r="B7" s="43"/>
      <c r="C7" s="43"/>
      <c r="D7" s="44"/>
    </row>
    <row r="10" spans="1:5" x14ac:dyDescent="0.2">
      <c r="A10" s="45"/>
      <c r="B10" s="46"/>
      <c r="E10" s="47"/>
    </row>
    <row r="11" spans="1:5" ht="15" x14ac:dyDescent="0.2">
      <c r="A11" s="48"/>
    </row>
    <row r="12" spans="1:5" ht="14.25" x14ac:dyDescent="0.2">
      <c r="A12" s="49"/>
    </row>
    <row r="13" spans="1:5" ht="15" x14ac:dyDescent="0.2">
      <c r="A13" s="48"/>
    </row>
    <row r="14" spans="1:5" ht="15" x14ac:dyDescent="0.25">
      <c r="A14" s="50"/>
    </row>
    <row r="15" spans="1:5" ht="15" x14ac:dyDescent="0.2">
      <c r="A15" s="48"/>
    </row>
    <row r="16" spans="1:5" ht="15" x14ac:dyDescent="0.2">
      <c r="A16" s="48"/>
    </row>
    <row r="17" spans="1:6" ht="15" x14ac:dyDescent="0.2">
      <c r="A17" s="51"/>
      <c r="B17" s="52"/>
    </row>
    <row r="18" spans="1:6" x14ac:dyDescent="0.2">
      <c r="B18" s="52"/>
    </row>
    <row r="28" spans="1:6" x14ac:dyDescent="0.2">
      <c r="A28" s="47"/>
      <c r="B28" s="47"/>
      <c r="C28" s="47"/>
      <c r="D28" s="47"/>
      <c r="E28" s="47"/>
    </row>
    <row r="29" spans="1:6" x14ac:dyDescent="0.2">
      <c r="A29" s="47"/>
      <c r="B29" s="47"/>
      <c r="C29" s="47"/>
      <c r="D29" s="47"/>
      <c r="E29" s="47"/>
      <c r="F29" s="53"/>
    </row>
    <row r="30" spans="1:6" x14ac:dyDescent="0.2">
      <c r="A30" s="47"/>
      <c r="B30" s="47"/>
      <c r="C30" s="47"/>
      <c r="D30" s="47"/>
      <c r="E30" s="47"/>
    </row>
    <row r="31" spans="1:6" x14ac:dyDescent="0.2">
      <c r="A31" s="47"/>
      <c r="B31" s="47"/>
      <c r="C31" s="47"/>
      <c r="D31" s="47"/>
      <c r="E31" s="47"/>
    </row>
    <row r="32" spans="1:6" x14ac:dyDescent="0.2">
      <c r="C32" s="46"/>
      <c r="D32" s="46"/>
      <c r="E32" s="46"/>
    </row>
    <row r="33" spans="1:10" x14ac:dyDescent="0.2">
      <c r="A33" s="54"/>
      <c r="B33" s="54"/>
      <c r="C33" s="54"/>
      <c r="D33" s="54"/>
      <c r="E33" s="54"/>
    </row>
    <row r="34" spans="1:10" ht="15" x14ac:dyDescent="0.25">
      <c r="A34" s="54"/>
      <c r="B34" s="54"/>
      <c r="C34" s="54"/>
      <c r="D34" s="54"/>
      <c r="E34" s="54"/>
      <c r="J34" s="55"/>
    </row>
    <row r="35" spans="1:10" ht="15" x14ac:dyDescent="0.25">
      <c r="A35" s="54"/>
      <c r="B35" s="54"/>
      <c r="C35" s="54"/>
      <c r="D35" s="54"/>
      <c r="E35" s="54"/>
      <c r="J35" s="56"/>
    </row>
    <row r="36" spans="1:10" ht="15" x14ac:dyDescent="0.25">
      <c r="A36" s="57"/>
      <c r="D36" s="47"/>
      <c r="J36" s="55"/>
    </row>
    <row r="37" spans="1:10" ht="15" x14ac:dyDescent="0.25">
      <c r="A37" s="57"/>
      <c r="D37" s="47"/>
      <c r="J37" s="55"/>
    </row>
    <row r="38" spans="1:10" x14ac:dyDescent="0.2">
      <c r="D38" s="47"/>
    </row>
    <row r="39" spans="1:10" x14ac:dyDescent="0.2">
      <c r="D39" s="47"/>
    </row>
    <row r="40" spans="1:10" x14ac:dyDescent="0.2">
      <c r="D40" s="47"/>
    </row>
    <row r="41" spans="1:10" x14ac:dyDescent="0.2">
      <c r="D41" s="47"/>
    </row>
    <row r="42" spans="1:10" x14ac:dyDescent="0.2">
      <c r="D42" s="47"/>
    </row>
    <row r="43" spans="1:10" x14ac:dyDescent="0.2">
      <c r="A43" s="58"/>
      <c r="B43" s="58"/>
      <c r="C43" s="58"/>
      <c r="D43" s="58"/>
      <c r="E43" s="58"/>
      <c r="F43" s="59"/>
    </row>
    <row r="44" spans="1:10" x14ac:dyDescent="0.2">
      <c r="A44" s="58"/>
      <c r="B44" s="58"/>
      <c r="C44" s="58"/>
      <c r="D44" s="60"/>
      <c r="E44" s="58"/>
      <c r="F44" s="59"/>
    </row>
    <row r="45" spans="1:10" x14ac:dyDescent="0.2">
      <c r="D45" s="47"/>
    </row>
  </sheetData>
  <mergeCells count="2">
    <mergeCell ref="A2:E2"/>
    <mergeCell ref="A33:E35"/>
  </mergeCells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14.3</vt:lpstr>
      <vt:lpstr>Graf-14.3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Diana Aguilera Paredes</dc:creator>
  <cp:lastModifiedBy>Laura Diana Aguilera Paredes</cp:lastModifiedBy>
  <dcterms:created xsi:type="dcterms:W3CDTF">2026-04-10T13:29:50Z</dcterms:created>
  <dcterms:modified xsi:type="dcterms:W3CDTF">2026-04-10T13:32:17Z</dcterms:modified>
</cp:coreProperties>
</file>